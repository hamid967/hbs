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ظرة عامة" sheetId="1" state="visible" r:id="rId1"/>
    <sheet xmlns:r="http://schemas.openxmlformats.org/officeDocument/2006/relationships" name="الافتراضات" sheetId="2" state="visible" r:id="rId2"/>
    <sheet xmlns:r="http://schemas.openxmlformats.org/officeDocument/2006/relationships" name="تفاصيل الميزانية" sheetId="3" state="visible" r:id="rId3"/>
    <sheet xmlns:r="http://schemas.openxmlformats.org/officeDocument/2006/relationships" name="الجدول الزمني" sheetId="4" state="visible" r:id="rId4"/>
    <sheet xmlns:r="http://schemas.openxmlformats.org/officeDocument/2006/relationships" name="المخاطر" sheetId="5" state="visible" r:id="rId5"/>
  </sheets>
  <definedNames>
    <definedName name="_xlnm._FilterDatabase" localSheetId="2" hidden="1">'تفاصيل الميزانية'!$B$5:$I$28</definedName>
    <definedName name="_xlnm._FilterDatabase" localSheetId="4" hidden="1">'المخاطر'!$B$5:$H$10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0 [$SAR]"/>
    <numFmt numFmtId="166" formatCode="#,##0.0"/>
    <numFmt numFmtId="167" formatCode="dd-mmm-yyyy"/>
    <numFmt numFmtId="168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74D3C"/>
      <sz val="20"/>
    </font>
    <font>
      <name val="Arial"/>
      <i val="1"/>
      <color rgb="005E6C65"/>
      <sz val="10"/>
    </font>
    <font>
      <name val="Arial"/>
      <b val="1"/>
      <color rgb="00FFFFFF"/>
      <sz val="10"/>
    </font>
    <font>
      <name val="Arial"/>
      <color rgb="0021382F"/>
      <sz val="10"/>
    </font>
    <font>
      <name val="Arial"/>
      <b val="1"/>
      <color rgb="0021382F"/>
    </font>
    <font>
      <name val="Arial"/>
      <b val="1"/>
      <color rgb="00174D3C"/>
      <sz val="14"/>
    </font>
    <font>
      <name val="Arial"/>
      <color rgb="00174D3C"/>
      <sz val="10"/>
      <u val="single"/>
    </font>
    <font>
      <name val="Arial"/>
      <color rgb="005E6C65"/>
      <sz val="9"/>
    </font>
    <font>
      <name val="Arial"/>
      <b val="1"/>
      <color rgb="00174D3C"/>
    </font>
  </fonts>
  <fills count="7">
    <fill>
      <patternFill/>
    </fill>
    <fill>
      <patternFill patternType="gray125"/>
    </fill>
    <fill>
      <patternFill patternType="solid">
        <fgColor rgb="00174D3C"/>
      </patternFill>
    </fill>
    <fill>
      <patternFill patternType="solid">
        <fgColor rgb="00FFFDE7"/>
      </patternFill>
    </fill>
    <fill>
      <patternFill patternType="solid">
        <fgColor rgb="00E7F0EA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thin">
        <color rgb="00CBD5CF"/>
      </left>
      <right style="thin">
        <color rgb="00CBD5CF"/>
      </right>
      <top style="medium">
        <color rgb="00174D3C"/>
      </top>
      <bottom style="medium">
        <color rgb="00174D3C"/>
      </bottom>
    </border>
    <border>
      <left style="thin">
        <color rgb="00CBD5CF"/>
      </left>
      <right style="thin">
        <color rgb="00CBD5CF"/>
      </right>
      <top style="thin">
        <color rgb="00CBD5CF"/>
      </top>
      <bottom style="thin">
        <color rgb="00CBD5C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 wrapText="1"/>
    </xf>
    <xf numFmtId="0" fontId="6" fillId="4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right" vertical="center" wrapText="1"/>
    </xf>
    <xf numFmtId="165" fontId="4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right" vertical="center" wrapText="1"/>
    </xf>
    <xf numFmtId="165" fontId="4" fillId="5" borderId="2" applyAlignment="1" pivotButton="0" quotePrefix="0" xfId="0">
      <alignment horizontal="right" vertical="center" wrapText="1"/>
    </xf>
    <xf numFmtId="168" fontId="4" fillId="0" borderId="2" applyAlignment="1" pivotButton="0" quotePrefix="0" xfId="0">
      <alignment horizontal="right" vertical="center" wrapText="1"/>
    </xf>
    <xf numFmtId="0" fontId="6" fillId="4" borderId="0" pivotButton="0" quotePrefix="0" xfId="0"/>
    <xf numFmtId="9" fontId="4" fillId="0" borderId="2" applyAlignment="1" pivotButton="0" quotePrefix="0" xfId="0">
      <alignment horizontal="right" vertical="center" wrapText="1"/>
    </xf>
    <xf numFmtId="0" fontId="7" fillId="0" borderId="0" pivotButton="0" quotePrefix="0" xfId="0"/>
    <xf numFmtId="0" fontId="8" fillId="6" borderId="0" applyAlignment="1" pivotButton="0" quotePrefix="0" xfId="0">
      <alignment horizontal="right" vertical="center" wrapText="1"/>
    </xf>
    <xf numFmtId="4" fontId="4" fillId="3" borderId="2" applyAlignment="1" pivotButton="0" quotePrefix="0" xfId="0">
      <alignment horizontal="right" vertical="center" wrapText="1"/>
    </xf>
    <xf numFmtId="164" fontId="4" fillId="3" borderId="2" applyAlignment="1" pivotButton="0" quotePrefix="0" xfId="0">
      <alignment horizontal="right" vertical="center" wrapText="1"/>
    </xf>
    <xf numFmtId="166" fontId="4" fillId="0" borderId="2" applyAlignment="1" pivotButton="0" quotePrefix="0" xfId="0">
      <alignment horizontal="right" vertical="center" wrapText="1"/>
    </xf>
    <xf numFmtId="0" fontId="5" fillId="4" borderId="2" pivotButton="0" quotePrefix="0" xfId="0"/>
    <xf numFmtId="0" fontId="0" fillId="4" borderId="2" pivotButton="0" quotePrefix="0" xfId="0"/>
    <xf numFmtId="165" fontId="5" fillId="4" borderId="2" pivotButton="0" quotePrefix="0" xfId="0"/>
    <xf numFmtId="0" fontId="5" fillId="5" borderId="2" pivotButton="0" quotePrefix="0" xfId="0"/>
    <xf numFmtId="0" fontId="0" fillId="5" borderId="2" pivotButton="0" quotePrefix="0" xfId="0"/>
    <xf numFmtId="165" fontId="5" fillId="5" borderId="2" pivotButton="0" quotePrefix="0" xfId="0"/>
    <xf numFmtId="0" fontId="9" fillId="0" borderId="0" pivotButton="0" quotePrefix="0" xfId="0"/>
    <xf numFmtId="167" fontId="4" fillId="0" borderId="2" applyAlignment="1" pivotButton="0" quotePrefix="0" xfId="0">
      <alignment horizontal="right" vertical="center" wrapText="1"/>
    </xf>
    <xf numFmtId="168" fontId="5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تكلفة العمل حسب المرحلة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'تفاصيل الميزانية'!C37</f>
            </strRef>
          </tx>
          <spPr>
            <a:solidFill xmlns:a="http://schemas.openxmlformats.org/drawingml/2006/main">
              <a:srgbClr val="174D3C"/>
            </a:solidFill>
            <a:ln xmlns:a="http://schemas.openxmlformats.org/drawingml/2006/main">
              <a:prstDash val="solid"/>
            </a:ln>
          </spPr>
          <cat>
            <numRef>
              <f>'تفاصيل الميزانية'!$B$38:$B$43</f>
            </numRef>
          </cat>
          <val>
            <numRef>
              <f>'تفاصيل الميزانية'!$C$38:$C$43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المرحلة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575;&#1604;&#1575;&#1601;&#1578;&#1585;&#1575;&#1590;&#1575;&#1578;'!A1" TargetMode="External" Id="rId1"/><Relationship Type="http://schemas.openxmlformats.org/officeDocument/2006/relationships/hyperlink" Target="#'&#1578;&#1601;&#1575;&#1589;&#1610;&#1604; &#1575;&#1604;&#1605;&#1610;&#1586;&#1575;&#1606;&#1610;&#1577;'!A1" TargetMode="External" Id="rId2"/><Relationship Type="http://schemas.openxmlformats.org/officeDocument/2006/relationships/hyperlink" Target="#'&#1575;&#1604;&#1580;&#1583;&#1608;&#1604; &#1575;&#1604;&#1586;&#1605;&#1606;&#1610;'!A1" TargetMode="External" Id="rId3"/><Relationship Type="http://schemas.openxmlformats.org/officeDocument/2006/relationships/hyperlink" Target="#'&#1575;&#1604;&#1605;&#1582;&#1575;&#1591;&#1585;'!A1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30"/>
  <sheetViews>
    <sheetView showGridLines="0" rightToLeft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 ht="34" customHeight="1">
      <c r="B2" s="1" t="inlineStr">
        <is>
          <t>نموذج ميزانية وجدول Webflow</t>
        </is>
      </c>
    </row>
    <row r="3" ht="28" customHeight="1">
      <c r="B3" s="2" t="inlineStr">
        <is>
          <t>نموذج تخطيطي قابل للتعديل بالريال السعودي. عدل الأسعار والساعات والتكاليف الخارجية في ورقة الافتراضات؛ يعاد حساب النموذج عند فتحه في Excel.</t>
        </is>
      </c>
    </row>
    <row r="5">
      <c r="B5" s="3" t="inlineStr">
        <is>
          <t>ملخص تنفيذي</t>
        </is>
      </c>
    </row>
    <row r="6" ht="28" customHeight="1">
      <c r="B6" s="4" t="inlineStr">
        <is>
          <t>المؤشر</t>
        </is>
      </c>
      <c r="C6" s="4" t="inlineStr">
        <is>
          <t>القيمة المحسوبة</t>
        </is>
      </c>
      <c r="D6" s="4" t="inlineStr">
        <is>
          <t>الوحدة</t>
        </is>
      </c>
    </row>
    <row r="7" ht="24" customHeight="1">
      <c r="B7" s="5" t="inlineStr">
        <is>
          <t>تكلفة العمل الأساسية</t>
        </is>
      </c>
      <c r="C7" s="6">
        <f>'تفاصيل الميزانية'!G30</f>
        <v/>
      </c>
      <c r="D7" s="5" t="inlineStr">
        <is>
          <t>SAR</t>
        </is>
      </c>
    </row>
    <row r="8" ht="24" customHeight="1">
      <c r="B8" s="5" t="inlineStr">
        <is>
          <t>التكاليف الخارجية المدخلة</t>
        </is>
      </c>
      <c r="C8" s="6">
        <f>'تفاصيل الميزانية'!G31</f>
        <v/>
      </c>
      <c r="D8" s="5" t="inlineStr">
        <is>
          <t>SAR</t>
        </is>
      </c>
    </row>
    <row r="9" ht="24" customHeight="1">
      <c r="B9" s="5" t="inlineStr">
        <is>
          <t>احتياطي المخاطر</t>
        </is>
      </c>
      <c r="C9" s="6">
        <f>'تفاصيل الميزانية'!G32</f>
        <v/>
      </c>
      <c r="D9" s="5" t="inlineStr">
        <is>
          <t>SAR</t>
        </is>
      </c>
    </row>
    <row r="10" ht="24" customHeight="1">
      <c r="B10" s="7" t="inlineStr">
        <is>
          <t>الإجمالي التقديري قبل الضريبة</t>
        </is>
      </c>
      <c r="C10" s="8">
        <f>'تفاصيل الميزانية'!G33</f>
        <v/>
      </c>
      <c r="D10" s="7" t="inlineStr">
        <is>
          <t>SAR</t>
        </is>
      </c>
    </row>
    <row r="11" ht="24" customHeight="1">
      <c r="B11" s="5" t="inlineStr">
        <is>
          <t>مدة التنفيذ</t>
        </is>
      </c>
      <c r="C11" s="5">
        <f>'الجدول الزمني'!D14</f>
        <v/>
      </c>
      <c r="D11" s="5" t="inlineStr">
        <is>
          <t>يوم عمل</t>
        </is>
      </c>
    </row>
    <row r="12" ht="24" customHeight="1">
      <c r="B12" s="5" t="inlineStr">
        <is>
          <t>المدة بالأسابيع</t>
        </is>
      </c>
      <c r="C12" s="9">
        <f>'الجدول الزمني'!D15</f>
        <v/>
      </c>
      <c r="D12" s="5" t="inlineStr">
        <is>
          <t>أسبوع</t>
        </is>
      </c>
    </row>
    <row r="15">
      <c r="B15" s="10" t="inlineStr">
        <is>
          <t>سيناريوهات التخطيط</t>
        </is>
      </c>
    </row>
    <row r="16" ht="28" customHeight="1">
      <c r="B16" s="4" t="inlineStr">
        <is>
          <t>السيناريو</t>
        </is>
      </c>
      <c r="C16" s="4" t="inlineStr">
        <is>
          <t>معامل التكلفة</t>
        </is>
      </c>
      <c r="D16" s="4" t="inlineStr">
        <is>
          <t>معامل المدة</t>
        </is>
      </c>
      <c r="E16" s="4" t="inlineStr">
        <is>
          <t>تكلفة مقدرة</t>
        </is>
      </c>
      <c r="F16" s="4" t="inlineStr">
        <is>
          <t>أيام عمل</t>
        </is>
      </c>
      <c r="G16" s="4" t="inlineStr">
        <is>
          <t>ملاحظة</t>
        </is>
      </c>
    </row>
    <row r="17" ht="24" customHeight="1">
      <c r="B17" s="5" t="inlineStr">
        <is>
          <t>مقتصد</t>
        </is>
      </c>
      <c r="C17" s="11" t="n">
        <v>0.85</v>
      </c>
      <c r="D17" s="11" t="n">
        <v>0.9</v>
      </c>
      <c r="E17" s="6">
        <f>C17*$C$10</f>
        <v/>
      </c>
      <c r="F17" s="9">
        <f>D17*$C$11</f>
        <v/>
      </c>
      <c r="G17" s="5" t="inlineStr">
        <is>
          <t>نطاق ثابت ومحتوى جاهز</t>
        </is>
      </c>
    </row>
    <row r="18" ht="24" customHeight="1">
      <c r="B18" s="5" t="inlineStr">
        <is>
          <t>أساسي</t>
        </is>
      </c>
      <c r="C18" s="11" t="n">
        <v>1</v>
      </c>
      <c r="D18" s="11" t="n">
        <v>1</v>
      </c>
      <c r="E18" s="6">
        <f>C18*$C$10</f>
        <v/>
      </c>
      <c r="F18" s="9">
        <f>D18*$C$11</f>
        <v/>
      </c>
      <c r="G18" s="5" t="inlineStr">
        <is>
          <t>الافتراضات الحالية</t>
        </is>
      </c>
    </row>
    <row r="19" ht="24" customHeight="1">
      <c r="B19" s="5" t="inlineStr">
        <is>
          <t>موسع</t>
        </is>
      </c>
      <c r="C19" s="11" t="n">
        <v>1.2</v>
      </c>
      <c r="D19" s="11" t="n">
        <v>1.2</v>
      </c>
      <c r="E19" s="6">
        <f>C19*$C$10</f>
        <v/>
      </c>
      <c r="F19" s="9">
        <f>D19*$C$11</f>
        <v/>
      </c>
      <c r="G19" s="5" t="inlineStr">
        <is>
          <t>دورات مراجعة أو تكامل أعلى</t>
        </is>
      </c>
    </row>
    <row r="22">
      <c r="B22" s="10" t="inlineStr">
        <is>
          <t>روابط الأوراق</t>
        </is>
      </c>
    </row>
    <row r="23">
      <c r="B23" s="12" t="inlineStr">
        <is>
          <t>الافتراضات</t>
        </is>
      </c>
    </row>
    <row r="24">
      <c r="B24" s="12" t="inlineStr">
        <is>
          <t>تفاصيل الميزانية</t>
        </is>
      </c>
    </row>
    <row r="25">
      <c r="B25" s="12" t="inlineStr">
        <is>
          <t>الجدول الزمني</t>
        </is>
      </c>
    </row>
    <row r="26">
      <c r="B26" s="12" t="inlineStr">
        <is>
          <t>المخاطر</t>
        </is>
      </c>
    </row>
    <row r="29">
      <c r="B29" s="13" t="inlineStr">
        <is>
          <t>تنبيه: النموذج تقديري للتخطيط. لا يشمل ضريبة القيمة المضافة أو رسوم الموردين غير المدخلة. اعتمد أسعار الساعة وتكاليف Webflow وCRM والأصول من عروض موثقة قبل الالتزام المالي.</t>
        </is>
      </c>
    </row>
    <row r="30"/>
  </sheetData>
  <mergeCells count="6">
    <mergeCell ref="B22:H22"/>
    <mergeCell ref="B2:H2"/>
    <mergeCell ref="B15:H15"/>
    <mergeCell ref="B3:H3"/>
    <mergeCell ref="B5:H5"/>
    <mergeCell ref="B29:H30"/>
  </mergeCells>
  <hyperlinks>
    <hyperlink xmlns:r="http://schemas.openxmlformats.org/officeDocument/2006/relationships" ref="B23" r:id="rId1"/>
    <hyperlink xmlns:r="http://schemas.openxmlformats.org/officeDocument/2006/relationships" ref="B24" r:id="rId2"/>
    <hyperlink xmlns:r="http://schemas.openxmlformats.org/officeDocument/2006/relationships" ref="B25" r:id="rId3"/>
    <hyperlink xmlns:r="http://schemas.openxmlformats.org/officeDocument/2006/relationships" ref="B26" r:id="rId4"/>
  </hyperlink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H19"/>
  <sheetViews>
    <sheetView showGridLines="0" rightToLeft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42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 ht="34" customHeight="1">
      <c r="B2" s="1" t="inlineStr">
        <is>
          <t>افتراضات نموذج Webflow</t>
        </is>
      </c>
    </row>
    <row r="3" ht="28" customHeight="1">
      <c r="B3" s="2" t="inlineStr">
        <is>
          <t>الخلايا الصفراء قابلة للتعديل. القيم الافتراضية تخطيطية وليست عرض سعر من مورد.</t>
        </is>
      </c>
    </row>
    <row r="5" ht="28" customHeight="1">
      <c r="B5" s="4" t="inlineStr">
        <is>
          <t>فئة الفرضية</t>
        </is>
      </c>
      <c r="C5" s="4" t="inlineStr">
        <is>
          <t>القيمة</t>
        </is>
      </c>
      <c r="D5" s="4" t="inlineStr">
        <is>
          <t>الوحدة</t>
        </is>
      </c>
      <c r="E5" s="4" t="inlineStr">
        <is>
          <t>ملاحظات</t>
        </is>
      </c>
    </row>
    <row r="6" ht="24" customHeight="1">
      <c r="B6" s="5" t="inlineStr">
        <is>
          <t>مدير المنتج / المشروع</t>
        </is>
      </c>
      <c r="C6" s="14" t="n">
        <v>120</v>
      </c>
      <c r="D6" s="5" t="inlineStr">
        <is>
          <t>SAR/ساعة</t>
        </is>
      </c>
      <c r="E6" s="5" t="inlineStr">
        <is>
          <t>سعر تخطيطي قابل للتعديل</t>
        </is>
      </c>
    </row>
    <row r="7" ht="24" customHeight="1">
      <c r="B7" s="5" t="inlineStr">
        <is>
          <t>مصمم تجربة وواجهة</t>
        </is>
      </c>
      <c r="C7" s="14" t="n">
        <v>115</v>
      </c>
      <c r="D7" s="5" t="inlineStr">
        <is>
          <t>SAR/ساعة</t>
        </is>
      </c>
      <c r="E7" s="5" t="inlineStr">
        <is>
          <t>سعر تخطيطي قابل للتعديل</t>
        </is>
      </c>
    </row>
    <row r="8" ht="24" customHeight="1">
      <c r="B8" s="5" t="inlineStr">
        <is>
          <t>مطور Webflow</t>
        </is>
      </c>
      <c r="C8" s="14" t="n">
        <v>110</v>
      </c>
      <c r="D8" s="5" t="inlineStr">
        <is>
          <t>SAR/ساعة</t>
        </is>
      </c>
      <c r="E8" s="5" t="inlineStr">
        <is>
          <t>سعر تخطيطي قابل للتعديل</t>
        </is>
      </c>
    </row>
    <row r="9" ht="24" customHeight="1">
      <c r="B9" s="5" t="inlineStr">
        <is>
          <t>كاتب محتوى</t>
        </is>
      </c>
      <c r="C9" s="14" t="n">
        <v>80</v>
      </c>
      <c r="D9" s="5" t="inlineStr">
        <is>
          <t>SAR/ساعة</t>
        </is>
      </c>
      <c r="E9" s="5" t="inlineStr">
        <is>
          <t>سعر تخطيطي قابل للتعديل</t>
        </is>
      </c>
    </row>
    <row r="10" ht="24" customHeight="1">
      <c r="B10" s="5" t="inlineStr">
        <is>
          <t>ضمان الجودة</t>
        </is>
      </c>
      <c r="C10" s="14" t="n">
        <v>85</v>
      </c>
      <c r="D10" s="5" t="inlineStr">
        <is>
          <t>SAR/ساعة</t>
        </is>
      </c>
      <c r="E10" s="5" t="inlineStr">
        <is>
          <t>سعر تخطيطي قابل للتعديل</t>
        </is>
      </c>
    </row>
    <row r="11" ht="24" customHeight="1">
      <c r="B11" s="5" t="inlineStr">
        <is>
          <t>مهندس تكامل</t>
        </is>
      </c>
      <c r="C11" s="14" t="n">
        <v>120</v>
      </c>
      <c r="D11" s="5" t="inlineStr">
        <is>
          <t>SAR/ساعة</t>
        </is>
      </c>
      <c r="E11" s="5" t="inlineStr">
        <is>
          <t>سعر تخطيطي قابل للتعديل</t>
        </is>
      </c>
    </row>
    <row r="12" ht="24" customHeight="1">
      <c r="B12" s="5" t="inlineStr">
        <is>
          <t>مختص SEO وقياس</t>
        </is>
      </c>
      <c r="C12" s="14" t="n">
        <v>90</v>
      </c>
      <c r="D12" s="5" t="inlineStr">
        <is>
          <t>SAR/ساعة</t>
        </is>
      </c>
      <c r="E12" s="5" t="inlineStr">
        <is>
          <t>سعر تخطيطي قابل للتعديل</t>
        </is>
      </c>
    </row>
    <row r="13" ht="24" customHeight="1">
      <c r="B13" s="5" t="inlineStr">
        <is>
          <t>احتياطي مخاطر</t>
        </is>
      </c>
      <c r="C13" s="15" t="n">
        <v>0.12</v>
      </c>
      <c r="D13" s="5" t="inlineStr">
        <is>
          <t>نسبة</t>
        </is>
      </c>
      <c r="E13" s="5" t="inlineStr">
        <is>
          <t>يطبق على الإجمالي قبل الضريبة</t>
        </is>
      </c>
    </row>
    <row r="14" ht="24" customHeight="1">
      <c r="B14" s="5" t="inlineStr">
        <is>
          <t>يوم العمل</t>
        </is>
      </c>
      <c r="C14" s="14" t="n">
        <v>8</v>
      </c>
      <c r="D14" s="5" t="inlineStr">
        <is>
          <t>ساعة</t>
        </is>
      </c>
      <c r="E14" s="5" t="inlineStr">
        <is>
          <t>لاحتساب الطاقة والمدة</t>
        </is>
      </c>
    </row>
    <row r="15" ht="24" customHeight="1">
      <c r="B15" s="5" t="inlineStr">
        <is>
          <t>أسبوع العمل</t>
        </is>
      </c>
      <c r="C15" s="14" t="n">
        <v>5</v>
      </c>
      <c r="D15" s="5" t="inlineStr">
        <is>
          <t>يوم</t>
        </is>
      </c>
      <c r="E15" s="5" t="inlineStr">
        <is>
          <t>لاحتساب الأسابيع</t>
        </is>
      </c>
    </row>
    <row r="16" ht="24" customHeight="1">
      <c r="B16" s="5" t="inlineStr">
        <is>
          <t>احتياطي مراجعة الإدارة</t>
        </is>
      </c>
      <c r="C16" s="14" t="n">
        <v>4</v>
      </c>
      <c r="D16" s="5" t="inlineStr">
        <is>
          <t>يوم عمل</t>
        </is>
      </c>
      <c r="E16" s="5" t="inlineStr">
        <is>
          <t>يضاف للمدة الأساسية</t>
        </is>
      </c>
    </row>
    <row r="17" ht="24" customHeight="1">
      <c r="B17" s="5" t="inlineStr">
        <is>
          <t>اشتراك Webflow / استضافة</t>
        </is>
      </c>
      <c r="C17" s="14" t="n">
        <v>0</v>
      </c>
      <c r="D17" s="5" t="inlineStr">
        <is>
          <t>SAR</t>
        </is>
      </c>
      <c r="E17" s="5" t="inlineStr">
        <is>
          <t>أدخل عرض المورد أو التكلفة المعتمدة</t>
        </is>
      </c>
    </row>
    <row r="18" ht="24" customHeight="1">
      <c r="B18" s="5" t="inlineStr">
        <is>
          <t>اسم النطاق والأصول المرخصة</t>
        </is>
      </c>
      <c r="C18" s="14" t="n">
        <v>0</v>
      </c>
      <c r="D18" s="5" t="inlineStr">
        <is>
          <t>SAR</t>
        </is>
      </c>
      <c r="E18" s="5" t="inlineStr">
        <is>
          <t>أدخل التكلفة الفعلية عند الاعتماد</t>
        </is>
      </c>
    </row>
    <row r="19" ht="24" customHeight="1">
      <c r="B19" s="5" t="inlineStr">
        <is>
          <t>CRM أو تحليلات خارجية</t>
        </is>
      </c>
      <c r="C19" s="14" t="n">
        <v>0</v>
      </c>
      <c r="D19" s="5" t="inlineStr">
        <is>
          <t>SAR</t>
        </is>
      </c>
      <c r="E19" s="5" t="inlineStr">
        <is>
          <t>أدخل التكلفة الفعلية إن استخدمت</t>
        </is>
      </c>
    </row>
  </sheetData>
  <mergeCells count="2">
    <mergeCell ref="B3:H3"/>
    <mergeCell ref="B2:H2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43"/>
  <sheetViews>
    <sheetView showGridLines="0" rightToLeft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20" customWidth="1" min="4" max="4"/>
    <col width="14" customWidth="1" min="5" max="5"/>
    <col width="12" customWidth="1" min="6" max="6"/>
    <col width="16" customWidth="1" min="7" max="7"/>
    <col width="16" customWidth="1" min="8" max="8"/>
    <col width="30" customWidth="1" min="9" max="9"/>
  </cols>
  <sheetData>
    <row r="2" ht="34" customHeight="1">
      <c r="B2" s="1" t="inlineStr">
        <is>
          <t>تفاصيل ميزانية تنفيذ Webflow</t>
        </is>
      </c>
    </row>
    <row r="3" ht="28" customHeight="1">
      <c r="B3" s="2" t="inlineStr">
        <is>
          <t>يعتمد النموذج على ساعات العمل وسعر الساعة من ورقة الافتراضات. التكلفة الإجمالية تتغير عند تعديل ساعات العمل أو الأسعار أو الاحتياطي.</t>
        </is>
      </c>
    </row>
    <row r="5" ht="28" customHeight="1">
      <c r="B5" s="4" t="inlineStr">
        <is>
          <t>المرحلة</t>
        </is>
      </c>
      <c r="C5" s="4" t="inlineStr">
        <is>
          <t>حزمة العمل</t>
        </is>
      </c>
      <c r="D5" s="4" t="inlineStr">
        <is>
          <t>الدور</t>
        </is>
      </c>
      <c r="E5" s="4" t="inlineStr">
        <is>
          <t>سعر الساعة</t>
        </is>
      </c>
      <c r="F5" s="4" t="inlineStr">
        <is>
          <t>الساعات</t>
        </is>
      </c>
      <c r="G5" s="4" t="inlineStr">
        <is>
          <t>تكلفة العمل</t>
        </is>
      </c>
      <c r="H5" s="4" t="inlineStr">
        <is>
          <t>تكلفة معدلة</t>
        </is>
      </c>
      <c r="I5" s="4" t="inlineStr">
        <is>
          <t>ملاحظة</t>
        </is>
      </c>
    </row>
    <row r="6" ht="24" customHeight="1">
      <c r="B6" s="5" t="inlineStr">
        <is>
          <t>1. الحوكمة والنطاق</t>
        </is>
      </c>
      <c r="C6" s="5" t="inlineStr">
        <is>
          <t>نطاق، ملاك محتوى، سياسة نشر</t>
        </is>
      </c>
      <c r="D6" s="5" t="inlineStr">
        <is>
          <t>مدير المنتج / المشروع</t>
        </is>
      </c>
      <c r="E6" s="6">
        <f>الافتراضات!$C$6</f>
        <v/>
      </c>
      <c r="F6" s="16" t="n">
        <v>16</v>
      </c>
      <c r="G6" s="6">
        <f>E6*F6</f>
        <v/>
      </c>
      <c r="H6" s="6">
        <f>G6</f>
        <v/>
      </c>
      <c r="I6" s="5" t="inlineStr">
        <is>
          <t>اعتماد حدود Webflow والتطبيق</t>
        </is>
      </c>
    </row>
    <row r="7" ht="24" customHeight="1">
      <c r="B7" s="5" t="inlineStr">
        <is>
          <t>1. الحوكمة والنطاق</t>
        </is>
      </c>
      <c r="C7" s="5" t="inlineStr">
        <is>
          <t>نطاق، ملاك محتوى، سياسة نشر</t>
        </is>
      </c>
      <c r="D7" s="5" t="inlineStr">
        <is>
          <t>مصمم تجربة وواجهة</t>
        </is>
      </c>
      <c r="E7" s="6">
        <f>الافتراضات!$C$7</f>
        <v/>
      </c>
      <c r="F7" s="16" t="n">
        <v>8</v>
      </c>
      <c r="G7" s="6">
        <f>E7*F7</f>
        <v/>
      </c>
      <c r="H7" s="6">
        <f>G7</f>
        <v/>
      </c>
      <c r="I7" s="5" t="inlineStr">
        <is>
          <t>مراجعة الاتجاه والهوية</t>
        </is>
      </c>
    </row>
    <row r="8" ht="24" customHeight="1">
      <c r="B8" s="5" t="inlineStr">
        <is>
          <t>1. الحوكمة والنطاق</t>
        </is>
      </c>
      <c r="C8" s="5" t="inlineStr">
        <is>
          <t>نطاق، ملاك محتوى، سياسة نشر</t>
        </is>
      </c>
      <c r="D8" s="5" t="inlineStr">
        <is>
          <t>مطور Webflow</t>
        </is>
      </c>
      <c r="E8" s="6">
        <f>الافتراضات!$C$8</f>
        <v/>
      </c>
      <c r="F8" s="16" t="n">
        <v>4</v>
      </c>
      <c r="G8" s="6">
        <f>E8*F8</f>
        <v/>
      </c>
      <c r="H8" s="6">
        <f>G8</f>
        <v/>
      </c>
      <c r="I8" s="5" t="inlineStr">
        <is>
          <t>تقدير هيكل التنفيذ</t>
        </is>
      </c>
    </row>
    <row r="9" ht="24" customHeight="1">
      <c r="B9" s="5" t="inlineStr">
        <is>
          <t>2. نظام التصميم</t>
        </is>
      </c>
      <c r="C9" s="5" t="inlineStr">
        <is>
          <t>Variables ومكونات RTL وإتاحة</t>
        </is>
      </c>
      <c r="D9" s="5" t="inlineStr">
        <is>
          <t>مصمم تجربة وواجهة</t>
        </is>
      </c>
      <c r="E9" s="6">
        <f>الافتراضات!$C$7</f>
        <v/>
      </c>
      <c r="F9" s="16" t="n">
        <v>24</v>
      </c>
      <c r="G9" s="6">
        <f>E9*F9</f>
        <v/>
      </c>
      <c r="H9" s="6">
        <f>G9</f>
        <v/>
      </c>
      <c r="I9" s="5" t="inlineStr">
        <is>
          <t>مكونات قابلة لإعادة الاستخدام</t>
        </is>
      </c>
    </row>
    <row r="10" ht="24" customHeight="1">
      <c r="B10" s="5" t="inlineStr">
        <is>
          <t>2. نظام التصميم</t>
        </is>
      </c>
      <c r="C10" s="5" t="inlineStr">
        <is>
          <t>Variables ومكونات RTL وإتاحة</t>
        </is>
      </c>
      <c r="D10" s="5" t="inlineStr">
        <is>
          <t>مطور Webflow</t>
        </is>
      </c>
      <c r="E10" s="6">
        <f>الافتراضات!$C$8</f>
        <v/>
      </c>
      <c r="F10" s="16" t="n">
        <v>16</v>
      </c>
      <c r="G10" s="6">
        <f>E10*F10</f>
        <v/>
      </c>
      <c r="H10" s="6">
        <f>G10</f>
        <v/>
      </c>
      <c r="I10" s="5" t="inlineStr">
        <is>
          <t>إنشاء المكونات والأنماط</t>
        </is>
      </c>
    </row>
    <row r="11" ht="24" customHeight="1">
      <c r="B11" s="5" t="inlineStr">
        <is>
          <t>2. نظام التصميم</t>
        </is>
      </c>
      <c r="C11" s="5" t="inlineStr">
        <is>
          <t>Variables ومكونات RTL وإتاحة</t>
        </is>
      </c>
      <c r="D11" s="5" t="inlineStr">
        <is>
          <t>مدير المنتج / المشروع</t>
        </is>
      </c>
      <c r="E11" s="6">
        <f>الافتراضات!$C$6</f>
        <v/>
      </c>
      <c r="F11" s="16" t="n">
        <v>8</v>
      </c>
      <c r="G11" s="6">
        <f>E11*F11</f>
        <v/>
      </c>
      <c r="H11" s="6">
        <f>G11</f>
        <v/>
      </c>
      <c r="I11" s="5" t="inlineStr">
        <is>
          <t>مراجعة معايير القبول</t>
        </is>
      </c>
    </row>
    <row r="12" ht="24" customHeight="1">
      <c r="B12" s="5" t="inlineStr">
        <is>
          <t>3. الصفحات الأساسية</t>
        </is>
      </c>
      <c r="C12" s="5" t="inlineStr">
        <is>
          <t>الرئيسية والمنصة والحلول والميزات</t>
        </is>
      </c>
      <c r="D12" s="5" t="inlineStr">
        <is>
          <t>مصمم تجربة وواجهة</t>
        </is>
      </c>
      <c r="E12" s="6">
        <f>الافتراضات!$C$7</f>
        <v/>
      </c>
      <c r="F12" s="16" t="n">
        <v>32</v>
      </c>
      <c r="G12" s="6">
        <f>E12*F12</f>
        <v/>
      </c>
      <c r="H12" s="6">
        <f>G12</f>
        <v/>
      </c>
      <c r="I12" s="5" t="inlineStr">
        <is>
          <t>تصميم الصفحات ومسارات CTA</t>
        </is>
      </c>
    </row>
    <row r="13" ht="24" customHeight="1">
      <c r="B13" s="5" t="inlineStr">
        <is>
          <t>3. الصفحات الأساسية</t>
        </is>
      </c>
      <c r="C13" s="5" t="inlineStr">
        <is>
          <t>الرئيسية والمنصة والحلول والميزات</t>
        </is>
      </c>
      <c r="D13" s="5" t="inlineStr">
        <is>
          <t>مطور Webflow</t>
        </is>
      </c>
      <c r="E13" s="6">
        <f>الافتراضات!$C$8</f>
        <v/>
      </c>
      <c r="F13" s="16" t="n">
        <v>48</v>
      </c>
      <c r="G13" s="6">
        <f>E13*F13</f>
        <v/>
      </c>
      <c r="H13" s="6">
        <f>G13</f>
        <v/>
      </c>
      <c r="I13" s="5" t="inlineStr">
        <is>
          <t>بناء الصفحات المتجاوبة</t>
        </is>
      </c>
    </row>
    <row r="14" ht="24" customHeight="1">
      <c r="B14" s="5" t="inlineStr">
        <is>
          <t>3. الصفحات الأساسية</t>
        </is>
      </c>
      <c r="C14" s="5" t="inlineStr">
        <is>
          <t>الرئيسية والمنصة والحلول والميزات</t>
        </is>
      </c>
      <c r="D14" s="5" t="inlineStr">
        <is>
          <t>كاتب محتوى</t>
        </is>
      </c>
      <c r="E14" s="6">
        <f>الافتراضات!$C$9</f>
        <v/>
      </c>
      <c r="F14" s="16" t="n">
        <v>24</v>
      </c>
      <c r="G14" s="6">
        <f>E14*F14</f>
        <v/>
      </c>
      <c r="H14" s="6">
        <f>G14</f>
        <v/>
      </c>
      <c r="I14" s="5" t="inlineStr">
        <is>
          <t>نسخ عربي وتسميات</t>
        </is>
      </c>
    </row>
    <row r="15" ht="24" customHeight="1">
      <c r="B15" s="5" t="inlineStr">
        <is>
          <t>3. الصفحات الأساسية</t>
        </is>
      </c>
      <c r="C15" s="5" t="inlineStr">
        <is>
          <t>الرئيسية والمنصة والحلول والميزات</t>
        </is>
      </c>
      <c r="D15" s="5" t="inlineStr">
        <is>
          <t>ضمان الجودة</t>
        </is>
      </c>
      <c r="E15" s="6">
        <f>الافتراضات!$C$10</f>
        <v/>
      </c>
      <c r="F15" s="16" t="n">
        <v>8</v>
      </c>
      <c r="G15" s="6">
        <f>E15*F15</f>
        <v/>
      </c>
      <c r="H15" s="6">
        <f>G15</f>
        <v/>
      </c>
      <c r="I15" s="5" t="inlineStr">
        <is>
          <t>فحص الهاتف والتنقل</t>
        </is>
      </c>
    </row>
    <row r="16" ht="24" customHeight="1">
      <c r="B16" s="5" t="inlineStr">
        <is>
          <t>3. الصفحات الأساسية</t>
        </is>
      </c>
      <c r="C16" s="5" t="inlineStr">
        <is>
          <t>الرئيسية والمنصة والحلول والميزات</t>
        </is>
      </c>
      <c r="D16" s="5" t="inlineStr">
        <is>
          <t>مدير المنتج / المشروع</t>
        </is>
      </c>
      <c r="E16" s="6">
        <f>الافتراضات!$C$6</f>
        <v/>
      </c>
      <c r="F16" s="16" t="n">
        <v>16</v>
      </c>
      <c r="G16" s="6">
        <f>E16*F16</f>
        <v/>
      </c>
      <c r="H16" s="6">
        <f>G16</f>
        <v/>
      </c>
      <c r="I16" s="5" t="inlineStr">
        <is>
          <t>توجيه ومراجعة</t>
        </is>
      </c>
    </row>
    <row r="17" ht="24" customHeight="1">
      <c r="B17" s="5" t="inlineStr">
        <is>
          <t>4. CMS والمحتوى</t>
        </is>
      </c>
      <c r="C17" s="5" t="inlineStr">
        <is>
          <t>مجموعات وقوالب محتوى</t>
        </is>
      </c>
      <c r="D17" s="5" t="inlineStr">
        <is>
          <t>مطور Webflow</t>
        </is>
      </c>
      <c r="E17" s="6">
        <f>الافتراضات!$C$8</f>
        <v/>
      </c>
      <c r="F17" s="16" t="n">
        <v>24</v>
      </c>
      <c r="G17" s="6">
        <f>E17*F17</f>
        <v/>
      </c>
      <c r="H17" s="6">
        <f>G17</f>
        <v/>
      </c>
      <c r="I17" s="5" t="inlineStr">
        <is>
          <t>إنشاء CMS والقوالب</t>
        </is>
      </c>
    </row>
    <row r="18" ht="24" customHeight="1">
      <c r="B18" s="5" t="inlineStr">
        <is>
          <t>4. CMS والمحتوى</t>
        </is>
      </c>
      <c r="C18" s="5" t="inlineStr">
        <is>
          <t>مجموعات وقوالب محتوى</t>
        </is>
      </c>
      <c r="D18" s="5" t="inlineStr">
        <is>
          <t>كاتب محتوى</t>
        </is>
      </c>
      <c r="E18" s="6">
        <f>الافتراضات!$C$9</f>
        <v/>
      </c>
      <c r="F18" s="16" t="n">
        <v>32</v>
      </c>
      <c r="G18" s="6">
        <f>E18*F18</f>
        <v/>
      </c>
      <c r="H18" s="6">
        <f>G18</f>
        <v/>
      </c>
      <c r="I18" s="5" t="inlineStr">
        <is>
          <t>إعداد المحتوى الأولي</t>
        </is>
      </c>
    </row>
    <row r="19" ht="24" customHeight="1">
      <c r="B19" s="5" t="inlineStr">
        <is>
          <t>4. CMS والمحتوى</t>
        </is>
      </c>
      <c r="C19" s="5" t="inlineStr">
        <is>
          <t>مجموعات وقوالب محتوى</t>
        </is>
      </c>
      <c r="D19" s="5" t="inlineStr">
        <is>
          <t>ضمان الجودة</t>
        </is>
      </c>
      <c r="E19" s="6">
        <f>الافتراضات!$C$10</f>
        <v/>
      </c>
      <c r="F19" s="16" t="n">
        <v>12</v>
      </c>
      <c r="G19" s="6">
        <f>E19*F19</f>
        <v/>
      </c>
      <c r="H19" s="6">
        <f>G19</f>
        <v/>
      </c>
      <c r="I19" s="5" t="inlineStr">
        <is>
          <t>اختبار القوالب والتحرير</t>
        </is>
      </c>
    </row>
    <row r="20" ht="24" customHeight="1">
      <c r="B20" s="5" t="inlineStr">
        <is>
          <t>4. CMS والمحتوى</t>
        </is>
      </c>
      <c r="C20" s="5" t="inlineStr">
        <is>
          <t>مجموعات وقوالب محتوى</t>
        </is>
      </c>
      <c r="D20" s="5" t="inlineStr">
        <is>
          <t>مدير المنتج / المشروع</t>
        </is>
      </c>
      <c r="E20" s="6">
        <f>الافتراضات!$C$6</f>
        <v/>
      </c>
      <c r="F20" s="16" t="n">
        <v>8</v>
      </c>
      <c r="G20" s="6">
        <f>E20*F20</f>
        <v/>
      </c>
      <c r="H20" s="6">
        <f>G20</f>
        <v/>
      </c>
      <c r="I20" s="5" t="inlineStr">
        <is>
          <t>حوكمة المحتوى</t>
        </is>
      </c>
    </row>
    <row r="21" ht="24" customHeight="1">
      <c r="B21" s="5" t="inlineStr">
        <is>
          <t>5. التحويل والتكامل</t>
        </is>
      </c>
      <c r="C21" s="5" t="inlineStr">
        <is>
          <t>نموذج طلب العرض وتدفق CRM اختياري</t>
        </is>
      </c>
      <c r="D21" s="5" t="inlineStr">
        <is>
          <t>مطور Webflow</t>
        </is>
      </c>
      <c r="E21" s="6">
        <f>الافتراضات!$C$8</f>
        <v/>
      </c>
      <c r="F21" s="16" t="n">
        <v>20</v>
      </c>
      <c r="G21" s="6">
        <f>E21*F21</f>
        <v/>
      </c>
      <c r="H21" s="6">
        <f>G21</f>
        <v/>
      </c>
      <c r="I21" s="5" t="inlineStr">
        <is>
          <t>نموذج وتحويلات</t>
        </is>
      </c>
    </row>
    <row r="22" ht="24" customHeight="1">
      <c r="B22" s="5" t="inlineStr">
        <is>
          <t>5. التحويل والتكامل</t>
        </is>
      </c>
      <c r="C22" s="5" t="inlineStr">
        <is>
          <t>نموذج طلب العرض وتدفق CRM اختياري</t>
        </is>
      </c>
      <c r="D22" s="5" t="inlineStr">
        <is>
          <t>مهندس تكامل</t>
        </is>
      </c>
      <c r="E22" s="6">
        <f>الافتراضات!$C$11</f>
        <v/>
      </c>
      <c r="F22" s="16" t="n">
        <v>16</v>
      </c>
      <c r="G22" s="6">
        <f>E22*F22</f>
        <v/>
      </c>
      <c r="H22" s="6">
        <f>G22</f>
        <v/>
      </c>
      <c r="I22" s="5" t="inlineStr">
        <is>
          <t>Webhook أو CRM بعد الاعتماد</t>
        </is>
      </c>
    </row>
    <row r="23" ht="24" customHeight="1">
      <c r="B23" s="5" t="inlineStr">
        <is>
          <t>5. التحويل والتكامل</t>
        </is>
      </c>
      <c r="C23" s="5" t="inlineStr">
        <is>
          <t>نموذج طلب العرض وتدفق CRM اختياري</t>
        </is>
      </c>
      <c r="D23" s="5" t="inlineStr">
        <is>
          <t>ضمان الجودة</t>
        </is>
      </c>
      <c r="E23" s="6">
        <f>الافتراضات!$C$10</f>
        <v/>
      </c>
      <c r="F23" s="16" t="n">
        <v>8</v>
      </c>
      <c r="G23" s="6">
        <f>E23*F23</f>
        <v/>
      </c>
      <c r="H23" s="6">
        <f>G23</f>
        <v/>
      </c>
      <c r="I23" s="5" t="inlineStr">
        <is>
          <t>اختبارات الإرسال والأخطاء</t>
        </is>
      </c>
    </row>
    <row r="24" ht="24" customHeight="1">
      <c r="B24" s="5" t="inlineStr">
        <is>
          <t>5. التحويل والتكامل</t>
        </is>
      </c>
      <c r="C24" s="5" t="inlineStr">
        <is>
          <t>نموذج طلب العرض وتدفق CRM اختياري</t>
        </is>
      </c>
      <c r="D24" s="5" t="inlineStr">
        <is>
          <t>مدير المنتج / المشروع</t>
        </is>
      </c>
      <c r="E24" s="6">
        <f>الافتراضات!$C$6</f>
        <v/>
      </c>
      <c r="F24" s="16" t="n">
        <v>8</v>
      </c>
      <c r="G24" s="6">
        <f>E24*F24</f>
        <v/>
      </c>
      <c r="H24" s="6">
        <f>G24</f>
        <v/>
      </c>
      <c r="I24" s="5" t="inlineStr">
        <is>
          <t>اعتماد الحقول والخصوصية</t>
        </is>
      </c>
    </row>
    <row r="25" ht="24" customHeight="1">
      <c r="B25" s="5" t="inlineStr">
        <is>
          <t>6. SEO والجودة والإطلاق</t>
        </is>
      </c>
      <c r="C25" s="5" t="inlineStr">
        <is>
          <t>SEO، قياس، قبول، إطلاق</t>
        </is>
      </c>
      <c r="D25" s="5" t="inlineStr">
        <is>
          <t>مختص SEO وقياس</t>
        </is>
      </c>
      <c r="E25" s="6">
        <f>الافتراضات!$C$12</f>
        <v/>
      </c>
      <c r="F25" s="16" t="n">
        <v>16</v>
      </c>
      <c r="G25" s="6">
        <f>E25*F25</f>
        <v/>
      </c>
      <c r="H25" s="6">
        <f>G25</f>
        <v/>
      </c>
      <c r="I25" s="5" t="inlineStr">
        <is>
          <t>عناوين ووصف وأحداث</t>
        </is>
      </c>
    </row>
    <row r="26" ht="24" customHeight="1">
      <c r="B26" s="5" t="inlineStr">
        <is>
          <t>6. SEO والجودة والإطلاق</t>
        </is>
      </c>
      <c r="C26" s="5" t="inlineStr">
        <is>
          <t>SEO، قياس، قبول، إطلاق</t>
        </is>
      </c>
      <c r="D26" s="5" t="inlineStr">
        <is>
          <t>مطور Webflow</t>
        </is>
      </c>
      <c r="E26" s="6">
        <f>الافتراضات!$C$8</f>
        <v/>
      </c>
      <c r="F26" s="16" t="n">
        <v>12</v>
      </c>
      <c r="G26" s="6">
        <f>E26*F26</f>
        <v/>
      </c>
      <c r="H26" s="6">
        <f>G26</f>
        <v/>
      </c>
      <c r="I26" s="5" t="inlineStr">
        <is>
          <t>تحسينات ونشر</t>
        </is>
      </c>
    </row>
    <row r="27" ht="24" customHeight="1">
      <c r="B27" s="5" t="inlineStr">
        <is>
          <t>6. SEO والجودة والإطلاق</t>
        </is>
      </c>
      <c r="C27" s="5" t="inlineStr">
        <is>
          <t>SEO، قياس، قبول، إطلاق</t>
        </is>
      </c>
      <c r="D27" s="5" t="inlineStr">
        <is>
          <t>ضمان الجودة</t>
        </is>
      </c>
      <c r="E27" s="6">
        <f>الافتراضات!$C$10</f>
        <v/>
      </c>
      <c r="F27" s="16" t="n">
        <v>20</v>
      </c>
      <c r="G27" s="6">
        <f>E27*F27</f>
        <v/>
      </c>
      <c r="H27" s="6">
        <f>G27</f>
        <v/>
      </c>
      <c r="I27" s="5" t="inlineStr">
        <is>
          <t>قبول صفحات ونماذج</t>
        </is>
      </c>
    </row>
    <row r="28" ht="24" customHeight="1">
      <c r="B28" s="5" t="inlineStr">
        <is>
          <t>6. SEO والجودة والإطلاق</t>
        </is>
      </c>
      <c r="C28" s="5" t="inlineStr">
        <is>
          <t>SEO، قياس، قبول، إطلاق</t>
        </is>
      </c>
      <c r="D28" s="5" t="inlineStr">
        <is>
          <t>مدير المنتج / المشروع</t>
        </is>
      </c>
      <c r="E28" s="6">
        <f>الافتراضات!$C$6</f>
        <v/>
      </c>
      <c r="F28" s="16" t="n">
        <v>8</v>
      </c>
      <c r="G28" s="6">
        <f>E28*F28</f>
        <v/>
      </c>
      <c r="H28" s="6">
        <f>G28</f>
        <v/>
      </c>
      <c r="I28" s="5" t="inlineStr">
        <is>
          <t>بوابة الإطلاق</t>
        </is>
      </c>
    </row>
    <row r="30">
      <c r="B30" s="17" t="inlineStr">
        <is>
          <t>إجمالي تكلفة العمل</t>
        </is>
      </c>
      <c r="C30" s="18" t="n"/>
      <c r="D30" s="18" t="n"/>
      <c r="E30" s="18" t="n"/>
      <c r="F30" s="18" t="n"/>
      <c r="G30" s="19">
        <f>SUM(G6:G28)</f>
        <v/>
      </c>
    </row>
    <row r="31">
      <c r="B31" s="17" t="inlineStr">
        <is>
          <t>تكاليف خارجية قابلة للإدخال</t>
        </is>
      </c>
      <c r="C31" s="18" t="n"/>
      <c r="D31" s="18" t="n"/>
      <c r="E31" s="18" t="n"/>
      <c r="F31" s="18" t="n"/>
      <c r="G31" s="19">
        <f>SUM(الافتراضات!C17:C19)</f>
        <v/>
      </c>
    </row>
    <row r="32">
      <c r="B32" s="17" t="inlineStr">
        <is>
          <t>احتياطي المخاطر</t>
        </is>
      </c>
      <c r="C32" s="18" t="n"/>
      <c r="D32" s="18" t="n"/>
      <c r="E32" s="18" t="n"/>
      <c r="F32" s="18" t="n"/>
      <c r="G32" s="19">
        <f>(G30+G31)*الافتراضات!C13</f>
        <v/>
      </c>
    </row>
    <row r="33">
      <c r="B33" s="20" t="inlineStr">
        <is>
          <t>الإجمالي التقديري قبل الضريبة</t>
        </is>
      </c>
      <c r="C33" s="21" t="n"/>
      <c r="D33" s="21" t="n"/>
      <c r="E33" s="21" t="n"/>
      <c r="F33" s="21" t="n"/>
      <c r="G33" s="22">
        <f>SUM(G30:G32)</f>
        <v/>
      </c>
    </row>
    <row r="36">
      <c r="B36" s="23" t="inlineStr">
        <is>
          <t>ملخص تكلفة العمل حسب المرحلة</t>
        </is>
      </c>
    </row>
    <row r="37" ht="28" customHeight="1">
      <c r="B37" s="4" t="inlineStr">
        <is>
          <t>المرحلة</t>
        </is>
      </c>
      <c r="C37" s="4" t="inlineStr">
        <is>
          <t>التكلفة</t>
        </is>
      </c>
    </row>
    <row r="38" ht="24" customHeight="1">
      <c r="B38" s="5" t="inlineStr">
        <is>
          <t>1. الحوكمة والنطاق</t>
        </is>
      </c>
      <c r="C38" s="6">
        <f>SUMIF(B6:B28,B38,G6:G28)</f>
        <v/>
      </c>
    </row>
    <row r="39" ht="24" customHeight="1">
      <c r="B39" s="5" t="inlineStr">
        <is>
          <t>2. نظام التصميم</t>
        </is>
      </c>
      <c r="C39" s="6">
        <f>SUMIF(B6:B28,B39,G6:G28)</f>
        <v/>
      </c>
    </row>
    <row r="40" ht="24" customHeight="1">
      <c r="B40" s="5" t="inlineStr">
        <is>
          <t>3. الصفحات الأساسية</t>
        </is>
      </c>
      <c r="C40" s="6">
        <f>SUMIF(B6:B28,B40,G6:G28)</f>
        <v/>
      </c>
    </row>
    <row r="41" ht="24" customHeight="1">
      <c r="B41" s="5" t="inlineStr">
        <is>
          <t>4. CMS والمحتوى</t>
        </is>
      </c>
      <c r="C41" s="6">
        <f>SUMIF(B6:B28,B41,G6:G28)</f>
        <v/>
      </c>
    </row>
    <row r="42" ht="24" customHeight="1">
      <c r="B42" s="5" t="inlineStr">
        <is>
          <t>5. التحويل والتكامل</t>
        </is>
      </c>
      <c r="C42" s="6">
        <f>SUMIF(B6:B28,B42,G6:G28)</f>
        <v/>
      </c>
    </row>
    <row r="43" ht="24" customHeight="1">
      <c r="B43" s="5" t="inlineStr">
        <is>
          <t>6. SEO والجودة والإطلاق</t>
        </is>
      </c>
      <c r="C43" s="6">
        <f>SUMIF(B6:B28,B43,G6:G28)</f>
        <v/>
      </c>
    </row>
  </sheetData>
  <autoFilter ref="B5:I28"/>
  <mergeCells count="2">
    <mergeCell ref="B3:H3"/>
    <mergeCell ref="B2:H2"/>
  </mergeCells>
  <conditionalFormatting sqref="G6:G28">
    <cfRule type="dataBar" priority="1">
      <dataBar>
        <cfvo type="min"/>
        <cfvo type="max"/>
        <color rgb="00B9924A"/>
      </dataBar>
    </cfRule>
  </conditionalFormatting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H15"/>
  <sheetViews>
    <sheetView showGridLines="0" rightToLeft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28" customWidth="1" min="7" max="7"/>
    <col width="28" customWidth="1" min="8" max="8"/>
  </cols>
  <sheetData>
    <row r="2" ht="34" customHeight="1">
      <c r="B2" s="1" t="inlineStr">
        <is>
          <t>الجدول الزمني التقديري لتنفيذ Webflow</t>
        </is>
      </c>
    </row>
    <row r="3" ht="28" customHeight="1">
      <c r="B3" s="2" t="inlineStr">
        <is>
          <t>المدة باليوم التشغيلي. لا تبدأ أي تكاملات خارجية قبل اعتماد المزوّد والحقول وسياسة الخصوصية.</t>
        </is>
      </c>
    </row>
    <row r="5" ht="28" customHeight="1">
      <c r="B5" s="4" t="inlineStr">
        <is>
          <t>المرحلة</t>
        </is>
      </c>
      <c r="C5" s="4" t="inlineStr">
        <is>
          <t>المخرج</t>
        </is>
      </c>
      <c r="D5" s="4" t="inlineStr">
        <is>
          <t>المدة (أيام عمل)</t>
        </is>
      </c>
      <c r="E5" s="4" t="inlineStr">
        <is>
          <t>البداية</t>
        </is>
      </c>
      <c r="F5" s="4" t="inlineStr">
        <is>
          <t>النهاية</t>
        </is>
      </c>
      <c r="G5" s="4" t="inlineStr">
        <is>
          <t>الاعتمادية</t>
        </is>
      </c>
      <c r="H5" s="4" t="inlineStr">
        <is>
          <t>بوابة القبول</t>
        </is>
      </c>
    </row>
    <row r="6" ht="24" customHeight="1">
      <c r="B6" s="5" t="inlineStr">
        <is>
          <t>1. الحوكمة والنطاق</t>
        </is>
      </c>
      <c r="C6" s="5" t="inlineStr">
        <is>
          <t>خريطة نطاق ومالك محتوى وسياسة نشر</t>
        </is>
      </c>
      <c r="D6" s="16" t="n">
        <v>3</v>
      </c>
      <c r="E6" s="24">
        <f>DATE(2026,1,1)</f>
        <v/>
      </c>
      <c r="F6" s="24">
        <f>E6+D6-1</f>
        <v/>
      </c>
      <c r="G6" s="5" t="inlineStr">
        <is>
          <t>بداية البرنامج</t>
        </is>
      </c>
      <c r="H6" s="5" t="inlineStr">
        <is>
          <t>فصل Webflow عن التطبيق الداخلي</t>
        </is>
      </c>
    </row>
    <row r="7" ht="24" customHeight="1">
      <c r="B7" s="5" t="inlineStr">
        <is>
          <t>2. نظام التصميم</t>
        </is>
      </c>
      <c r="C7" s="5" t="inlineStr">
        <is>
          <t>مكونات RTL ومتغيرات وإتاحة</t>
        </is>
      </c>
      <c r="D7" s="16" t="n">
        <v>5</v>
      </c>
      <c r="E7" s="24">
        <f>F6+1</f>
        <v/>
      </c>
      <c r="F7" s="24">
        <f>E7+D7-1</f>
        <v/>
      </c>
      <c r="G7" s="5" t="inlineStr">
        <is>
          <t>اعتماد النطاق</t>
        </is>
      </c>
      <c r="H7" s="5" t="inlineStr">
        <is>
          <t>تباين وتركيز وحركة مختزلة</t>
        </is>
      </c>
    </row>
    <row r="8" ht="24" customHeight="1">
      <c r="B8" s="5" t="inlineStr">
        <is>
          <t>3. الصفحات الأساسية</t>
        </is>
      </c>
      <c r="C8" s="5" t="inlineStr">
        <is>
          <t>الرئيسية والمنصة والحلول والميزات</t>
        </is>
      </c>
      <c r="D8" s="16" t="n">
        <v>7</v>
      </c>
      <c r="E8" s="24">
        <f>F7+1</f>
        <v/>
      </c>
      <c r="F8" s="24">
        <f>E8+D8-1</f>
        <v/>
      </c>
      <c r="G8" s="5" t="inlineStr">
        <is>
          <t>نظام التصميم</t>
        </is>
      </c>
      <c r="H8" s="5" t="inlineStr">
        <is>
          <t>CTA ومسارات الهاتف صحيحة</t>
        </is>
      </c>
    </row>
    <row r="9" ht="24" customHeight="1">
      <c r="B9" s="5" t="inlineStr">
        <is>
          <t>4. CMS والمحتوى</t>
        </is>
      </c>
      <c r="C9" s="5" t="inlineStr">
        <is>
          <t>مجموعات CMS وقوالب تحرير</t>
        </is>
      </c>
      <c r="D9" s="16" t="n">
        <v>4</v>
      </c>
      <c r="E9" s="24">
        <f>F8+1</f>
        <v/>
      </c>
      <c r="F9" s="24">
        <f>E9+D9-1</f>
        <v/>
      </c>
      <c r="G9" s="5" t="inlineStr">
        <is>
          <t>الصفحات الأساسية</t>
        </is>
      </c>
      <c r="H9" s="5" t="inlineStr">
        <is>
          <t>مالك وتاريخ مراجعة لكل عنصر</t>
        </is>
      </c>
    </row>
    <row r="10" ht="24" customHeight="1">
      <c r="B10" s="5" t="inlineStr">
        <is>
          <t>5. التحويل والتكامل</t>
        </is>
      </c>
      <c r="C10" s="5" t="inlineStr">
        <is>
          <t>نموذج طلب العرض وتدفق CRM اختياري</t>
        </is>
      </c>
      <c r="D10" s="16" t="n">
        <v>4</v>
      </c>
      <c r="E10" s="24">
        <f>F9+1</f>
        <v/>
      </c>
      <c r="F10" s="24">
        <f>E10+D10-1</f>
        <v/>
      </c>
      <c r="G10" s="5" t="inlineStr">
        <is>
          <t>سياسة الخصوصية وتحديد CRM</t>
        </is>
      </c>
      <c r="H10" s="5" t="inlineStr">
        <is>
          <t>لا مفاتيح في الواجهة</t>
        </is>
      </c>
    </row>
    <row r="11" ht="24" customHeight="1">
      <c r="B11" s="5" t="inlineStr">
        <is>
          <t>6. SEO والجودة والإطلاق</t>
        </is>
      </c>
      <c r="C11" s="5" t="inlineStr">
        <is>
          <t>SEO وقياس وقبول ونشر</t>
        </is>
      </c>
      <c r="D11" s="16" t="n">
        <v>3</v>
      </c>
      <c r="E11" s="24">
        <f>F10+1</f>
        <v/>
      </c>
      <c r="F11" s="24">
        <f>E11+D11-1</f>
        <v/>
      </c>
      <c r="G11" s="5" t="inlineStr">
        <is>
          <t>اكتمال الصفحات والنموذج</t>
        </is>
      </c>
      <c r="H11" s="5" t="inlineStr">
        <is>
          <t>لا عوائق حرجة</t>
        </is>
      </c>
    </row>
    <row r="12" ht="24" customHeight="1">
      <c r="B12" s="5" t="inlineStr">
        <is>
          <t>مراجعة الإدارة</t>
        </is>
      </c>
      <c r="C12" s="5" t="inlineStr">
        <is>
          <t>مراجعات محتوى وقرار نشر</t>
        </is>
      </c>
      <c r="D12" s="16">
        <f>الافتراضات!C16</f>
        <v/>
      </c>
      <c r="E12" s="24">
        <f>F11+1</f>
        <v/>
      </c>
      <c r="F12" s="24">
        <f>E12+D12-1</f>
        <v/>
      </c>
      <c r="G12" s="5" t="inlineStr">
        <is>
          <t>إتمام العمل</t>
        </is>
      </c>
      <c r="H12" s="5" t="inlineStr">
        <is>
          <t>محضر قرار النشر</t>
        </is>
      </c>
    </row>
    <row r="14">
      <c r="B14" s="20" t="inlineStr">
        <is>
          <t>إجمالي مدة التنفيذ</t>
        </is>
      </c>
      <c r="C14" s="20" t="n"/>
      <c r="D14" s="20">
        <f>SUM(D6:D12)</f>
        <v/>
      </c>
    </row>
    <row r="15">
      <c r="B15" s="20" t="inlineStr">
        <is>
          <t>الأسابيع التقديرية</t>
        </is>
      </c>
      <c r="C15" s="20" t="n"/>
      <c r="D15" s="25">
        <f>D14/الافتراضات!C15</f>
        <v/>
      </c>
    </row>
  </sheetData>
  <mergeCells count="2">
    <mergeCell ref="B3:H3"/>
    <mergeCell ref="B2:H2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H10"/>
  <sheetViews>
    <sheetView showGridLines="0" rightToLeft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35" customWidth="1" min="6" max="6"/>
    <col width="20" customWidth="1" min="7" max="7"/>
    <col width="20" customWidth="1" min="8" max="8"/>
  </cols>
  <sheetData>
    <row r="2" ht="34" customHeight="1">
      <c r="B2" s="1" t="inlineStr">
        <is>
          <t>مخاطر الميزانية والجدول الزمني</t>
        </is>
      </c>
    </row>
    <row r="3" ht="28" customHeight="1">
      <c r="B3" s="2" t="inlineStr">
        <is>
          <t>يسجل هذا السجل ما قد يغير التكلفة أو المدة؛ يُحدّث في مراجعة أسبوعية.</t>
        </is>
      </c>
    </row>
    <row r="5" ht="28" customHeight="1">
      <c r="B5" s="4" t="inlineStr">
        <is>
          <t>الخطر</t>
        </is>
      </c>
      <c r="C5" s="4" t="inlineStr">
        <is>
          <t>الاحتمال</t>
        </is>
      </c>
      <c r="D5" s="4" t="inlineStr">
        <is>
          <t>الأثر</t>
        </is>
      </c>
      <c r="E5" s="4" t="inlineStr">
        <is>
          <t>الأولوية</t>
        </is>
      </c>
      <c r="F5" s="4" t="inlineStr">
        <is>
          <t>التحكم</t>
        </is>
      </c>
      <c r="G5" s="4" t="inlineStr">
        <is>
          <t>المالك</t>
        </is>
      </c>
      <c r="H5" s="4" t="inlineStr">
        <is>
          <t>مؤشر الإنذار</t>
        </is>
      </c>
    </row>
    <row r="6" ht="24" customHeight="1">
      <c r="B6" s="5" t="inlineStr">
        <is>
          <t>توسع نطاق الصفحات أو المحتوى بعد اعتماد التصميم</t>
        </is>
      </c>
      <c r="C6" s="5" t="inlineStr">
        <is>
          <t>متوسط</t>
        </is>
      </c>
      <c r="D6" s="5" t="inlineStr">
        <is>
          <t>مرتفع</t>
        </is>
      </c>
      <c r="E6" s="5" t="inlineStr">
        <is>
          <t>P1</t>
        </is>
      </c>
      <c r="F6" s="5" t="inlineStr">
        <is>
          <t>سجل تغيير وموافقة مالك المنتج قبل البدء</t>
        </is>
      </c>
      <c r="G6" s="5" t="inlineStr">
        <is>
          <t>مالك المنتج</t>
        </is>
      </c>
      <c r="H6" s="5" t="inlineStr">
        <is>
          <t>طلبات إضافية بلا نطاق أو تقدير</t>
        </is>
      </c>
    </row>
    <row r="7" ht="24" customHeight="1">
      <c r="B7" s="5" t="inlineStr">
        <is>
          <t>تأخر اعتماد المحتوى أو الملاك</t>
        </is>
      </c>
      <c r="C7" s="5" t="inlineStr">
        <is>
          <t>مرتفع</t>
        </is>
      </c>
      <c r="D7" s="5" t="inlineStr">
        <is>
          <t>متوسط</t>
        </is>
      </c>
      <c r="E7" s="5" t="inlineStr">
        <is>
          <t>P1</t>
        </is>
      </c>
      <c r="F7" s="5" t="inlineStr">
        <is>
          <t>مالك وتاريخ مراجعة لكل عنصر CMS</t>
        </is>
      </c>
      <c r="G7" s="5" t="inlineStr">
        <is>
          <t>التسويق</t>
        </is>
      </c>
      <c r="H7" s="5" t="inlineStr">
        <is>
          <t>عنصر محتوى بلا مراجع</t>
        </is>
      </c>
    </row>
    <row r="8" ht="24" customHeight="1">
      <c r="B8" s="5" t="inlineStr">
        <is>
          <t>تأخر اختيار CRM أو تكامل خارجي</t>
        </is>
      </c>
      <c r="C8" s="5" t="inlineStr">
        <is>
          <t>متوسط</t>
        </is>
      </c>
      <c r="D8" s="5" t="inlineStr">
        <is>
          <t>مرتفع</t>
        </is>
      </c>
      <c r="E8" s="5" t="inlineStr">
        <is>
          <t>P1</t>
        </is>
      </c>
      <c r="F8" s="5" t="inlineStr">
        <is>
          <t>فصل مسار النموذج عن التكامل الخارجي</t>
        </is>
      </c>
      <c r="G8" s="5" t="inlineStr">
        <is>
          <t>مالك القرار</t>
        </is>
      </c>
      <c r="H8" s="5" t="inlineStr">
        <is>
          <t>مزوّد أو حقول غير معتمدة</t>
        </is>
      </c>
    </row>
    <row r="9" ht="24" customHeight="1">
      <c r="B9" s="5" t="inlineStr">
        <is>
          <t>تكلفة مزود أو أصل مرخص غير محسوبة</t>
        </is>
      </c>
      <c r="C9" s="5" t="inlineStr">
        <is>
          <t>متوسط</t>
        </is>
      </c>
      <c r="D9" s="5" t="inlineStr">
        <is>
          <t>متوسط</t>
        </is>
      </c>
      <c r="E9" s="5" t="inlineStr">
        <is>
          <t>P2</t>
        </is>
      </c>
      <c r="F9" s="5" t="inlineStr">
        <is>
          <t>إدخال عروض الموردين في الافتراضات قبل الالتزام</t>
        </is>
      </c>
      <c r="G9" s="5" t="inlineStr">
        <is>
          <t>المالية/التسويق</t>
        </is>
      </c>
      <c r="H9" s="5" t="inlineStr">
        <is>
          <t>تكلفة خارجية = صفر مع حاجة مثبتة</t>
        </is>
      </c>
    </row>
    <row r="10" ht="24" customHeight="1">
      <c r="B10" s="5" t="inlineStr">
        <is>
          <t>تراجع جودة RTL أو الإتاحة مع تسارع النشر</t>
        </is>
      </c>
      <c r="C10" s="5" t="inlineStr">
        <is>
          <t>منخفض</t>
        </is>
      </c>
      <c r="D10" s="5" t="inlineStr">
        <is>
          <t>مرتفع</t>
        </is>
      </c>
      <c r="E10" s="5" t="inlineStr">
        <is>
          <t>P2</t>
        </is>
      </c>
      <c r="F10" s="5" t="inlineStr">
        <is>
          <t>بوابة جودة للهاتف والتركيز والنموذج</t>
        </is>
      </c>
      <c r="G10" s="5" t="inlineStr">
        <is>
          <t>الجودة</t>
        </is>
      </c>
      <c r="H10" s="5" t="inlineStr">
        <is>
          <t>فشل اختبار تنقل أو تباين</t>
        </is>
      </c>
    </row>
  </sheetData>
  <autoFilter ref="B5:H10"/>
  <mergeCells count="2">
    <mergeCell ref="B3:H3"/>
    <mergeCell ref="B2:H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2026-08-25T21:29:45Z</dcterms:created>
  <dcterms:modified xmlns:dcterms="http://purl.org/dc/terms/" xmlns:xsi="http://www.w3.org/2001/XMLSchema-instance" xsi:type="dcterms:W3CDTF">2026-08-25T21:29:45Z</dcterms:modified>
</cp:coreProperties>
</file>